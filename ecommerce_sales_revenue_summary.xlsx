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13DCE\EXCELCNV\4511eee1-1e5e-4c7c-abf0-3adca334a3d4\"/>
    </mc:Choice>
  </mc:AlternateContent>
  <xr:revisionPtr revIDLastSave="0" documentId="8_{4FDF389F-A035-460B-A5EA-7BC3CCFC2AC3}" xr6:coauthVersionLast="47" xr6:coauthVersionMax="47" xr10:uidLastSave="{00000000-0000-0000-0000-000000000000}"/>
  <bookViews>
    <workbookView xWindow="-60" yWindow="-60" windowWidth="15480" windowHeight="11640" xr2:uid="{6855BAD1-EB2B-4731-8AD7-025F5DCEE00A}"/>
  </bookViews>
  <sheets>
    <sheet name="sales_data" sheetId="1" r:id="rId1"/>
    <sheet name="category_team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2" i="1"/>
</calcChain>
</file>

<file path=xl/sharedStrings.xml><?xml version="1.0" encoding="utf-8"?>
<sst xmlns="http://schemas.openxmlformats.org/spreadsheetml/2006/main" count="33" uniqueCount="23">
  <si>
    <t>Category</t>
  </si>
  <si>
    <t>number_sold</t>
  </si>
  <si>
    <t>gross_revenue</t>
  </si>
  <si>
    <t>corporate_lead</t>
  </si>
  <si>
    <t>Bottom</t>
  </si>
  <si>
    <t>Blouse</t>
  </si>
  <si>
    <t>Set</t>
  </si>
  <si>
    <t>Western Dress</t>
  </si>
  <si>
    <t>Top</t>
  </si>
  <si>
    <t>kurta</t>
  </si>
  <si>
    <t>Dupatta</t>
  </si>
  <si>
    <t>Ethnic Dress</t>
  </si>
  <si>
    <t>Saree</t>
  </si>
  <si>
    <t>Team_Lead</t>
  </si>
  <si>
    <t>Sarah Jenkins</t>
  </si>
  <si>
    <t>Mike Ross</t>
  </si>
  <si>
    <t>Rachel Zane</t>
  </si>
  <si>
    <t>Harvery Specter</t>
  </si>
  <si>
    <t>Donna Paulsen</t>
  </si>
  <si>
    <t>Louis Litt</t>
  </si>
  <si>
    <t>Jessica Pearson</t>
  </si>
  <si>
    <t>Robert Zane</t>
  </si>
  <si>
    <t>Alex Williams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</si>
</sst>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/>
                <a:ea typeface="Garamond"/>
                <a:cs typeface="Garamond"/>
              </a:defRPr>
            </a:pPr>
            <a:r>
              <a:rPr lang="en-US"/>
              <a:t>Gross Revenue Contribution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aramond"/>
              <a:ea typeface="Garamond"/>
              <a:cs typeface="Garamond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sales_data!$C$1</c:f>
              <c:strCache>
                <c:ptCount val="1"/>
                <c:pt idx="0">
                  <c:v>gross_revenue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sales_data!$A$2:$A$10</c:f>
              <c:strCache>
                <c:ptCount val="9"/>
                <c:pt idx="0">
                  <c:v>Bottom</c:v>
                </c:pt>
                <c:pt idx="1">
                  <c:v>Blouse</c:v>
                </c:pt>
                <c:pt idx="2">
                  <c:v>Set</c:v>
                </c:pt>
                <c:pt idx="3">
                  <c:v>Western Dress</c:v>
                </c:pt>
                <c:pt idx="4">
                  <c:v>Top</c:v>
                </c:pt>
                <c:pt idx="5">
                  <c:v>kurta</c:v>
                </c:pt>
                <c:pt idx="6">
                  <c:v>Dupatta</c:v>
                </c:pt>
                <c:pt idx="7">
                  <c:v>Ethnic Dress</c:v>
                </c:pt>
                <c:pt idx="8">
                  <c:v>Saree</c:v>
                </c:pt>
              </c:strCache>
            </c:strRef>
          </c:cat>
          <c:val>
            <c:numRef>
              <c:f>sales_data!$C$2:$C$10</c:f>
              <c:numCache>
                <c:formatCode>General</c:formatCode>
                <c:ptCount val="9"/>
                <c:pt idx="0">
                  <c:v>135453</c:v>
                </c:pt>
                <c:pt idx="1">
                  <c:v>416751</c:v>
                </c:pt>
                <c:pt idx="2">
                  <c:v>35521428</c:v>
                </c:pt>
                <c:pt idx="3">
                  <c:v>10141557</c:v>
                </c:pt>
                <c:pt idx="4">
                  <c:v>4874183</c:v>
                </c:pt>
                <c:pt idx="5">
                  <c:v>19311102</c:v>
                </c:pt>
                <c:pt idx="6">
                  <c:v>915</c:v>
                </c:pt>
                <c:pt idx="7">
                  <c:v>727040</c:v>
                </c:pt>
                <c:pt idx="8">
                  <c:v>114694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1F-4A5F-8FB2-66C5CA901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817863"/>
        <c:axId val="61819911"/>
      </c:barChart>
      <c:catAx>
        <c:axId val="61817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19911"/>
        <c:crosses val="autoZero"/>
        <c:auto val="1"/>
        <c:lblAlgn val="ctr"/>
        <c:lblOffset val="100"/>
        <c:noMultiLvlLbl val="0"/>
      </c:catAx>
      <c:valAx>
        <c:axId val="61819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17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542925</xdr:colOff>
      <xdr:row>10</xdr:row>
      <xdr:rowOff>180975</xdr:rowOff>
    </xdr:from>
    <xdr:to>
      <xdr:col>7</xdr:col>
      <xdr:colOff>590550</xdr:colOff>
      <xdr:row>25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60A0B9-2003-84A5-B04B-646684D105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3F3EE-198D-4BB3-BAEA-1D9804ADFCBA}">
  <dimension ref="A1:D10"/>
  <sheetViews>
    <sheetView tabSelected="1" workbookViewId="0">
      <selection activeCell="F14" sqref="F14"/>
    </sheetView>
  </sheetViews>
  <sheetFormatPr defaultRowHeight="15"/>
  <cols>
    <col min="1" max="1" width="13.5703125" bestFit="1" customWidth="1"/>
    <col min="2" max="2" width="12.42578125" bestFit="1" customWidth="1"/>
    <col min="3" max="3" width="13.7109375" bestFit="1" customWidth="1"/>
    <col min="4" max="4" width="14.28515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383</v>
      </c>
      <c r="C2">
        <v>135453</v>
      </c>
      <c r="D2" t="str">
        <f>_xlfn.XLOOKUP(sales_data!A2,category_team!$A$2:$A$10,category_team!$B$2:$B$10)</f>
        <v>Sarah Jenkins</v>
      </c>
    </row>
    <row r="3" spans="1:4">
      <c r="A3" t="s">
        <v>5</v>
      </c>
      <c r="B3">
        <v>828</v>
      </c>
      <c r="C3">
        <v>416751</v>
      </c>
      <c r="D3" t="str">
        <f>_xlfn.XLOOKUP(sales_data!A3,category_team!$A$2:$A$10,category_team!$B$2:$B$10)</f>
        <v>Mike Ross</v>
      </c>
    </row>
    <row r="4" spans="1:4">
      <c r="A4" t="s">
        <v>6</v>
      </c>
      <c r="B4">
        <v>42782</v>
      </c>
      <c r="C4">
        <v>35521428</v>
      </c>
      <c r="D4" t="str">
        <f>_xlfn.XLOOKUP(sales_data!A4,category_team!$A$2:$A$10,category_team!$B$2:$B$10)</f>
        <v>Rachel Zane</v>
      </c>
    </row>
    <row r="5" spans="1:4">
      <c r="A5" t="s">
        <v>7</v>
      </c>
      <c r="B5">
        <v>13326</v>
      </c>
      <c r="C5">
        <v>10141557</v>
      </c>
      <c r="D5" t="str">
        <f>_xlfn.XLOOKUP(sales_data!A5,category_team!$A$2:$A$10,category_team!$B$2:$B$10)</f>
        <v>Harvery Specter</v>
      </c>
    </row>
    <row r="6" spans="1:4">
      <c r="A6" t="s">
        <v>8</v>
      </c>
      <c r="B6">
        <v>9313</v>
      </c>
      <c r="C6">
        <v>4874183</v>
      </c>
      <c r="D6" t="str">
        <f>_xlfn.XLOOKUP(sales_data!A6,category_team!$A$2:$A$10,category_team!$B$2:$B$10)</f>
        <v>Donna Paulsen</v>
      </c>
    </row>
    <row r="7" spans="1:4">
      <c r="A7" t="s">
        <v>9</v>
      </c>
      <c r="B7">
        <v>42544</v>
      </c>
      <c r="C7">
        <v>19311102</v>
      </c>
      <c r="D7" t="str">
        <f>_xlfn.XLOOKUP(sales_data!A7,category_team!$A$2:$A$10,category_team!$B$2:$B$10)</f>
        <v>Louis Litt</v>
      </c>
    </row>
    <row r="8" spans="1:4">
      <c r="A8" t="s">
        <v>10</v>
      </c>
      <c r="B8">
        <v>3</v>
      </c>
      <c r="C8">
        <v>915</v>
      </c>
      <c r="D8" t="str">
        <f>_xlfn.XLOOKUP(sales_data!A8,category_team!$A$2:$A$10,category_team!$B$2:$B$10)</f>
        <v>Jessica Pearson</v>
      </c>
    </row>
    <row r="9" spans="1:4">
      <c r="A9" t="s">
        <v>11</v>
      </c>
      <c r="B9">
        <v>1009</v>
      </c>
      <c r="C9">
        <v>727040</v>
      </c>
      <c r="D9" t="str">
        <f>_xlfn.XLOOKUP(sales_data!A9,category_team!$A$2:$A$10,category_team!$B$2:$B$10)</f>
        <v>Robert Zane</v>
      </c>
    </row>
    <row r="10" spans="1:4">
      <c r="A10" t="s">
        <v>12</v>
      </c>
      <c r="B10">
        <v>147</v>
      </c>
      <c r="C10">
        <v>114694</v>
      </c>
      <c r="D10" t="str">
        <f>_xlfn.XLOOKUP(sales_data!A10,category_team!$A$2:$A$10,category_team!$B$2:$B$10)</f>
        <v>Alex Williams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BA85F-1BF2-414F-91F1-FD61882C6E9A}">
  <dimension ref="A1:B10"/>
  <sheetViews>
    <sheetView workbookViewId="0">
      <selection activeCell="B17" sqref="B17"/>
    </sheetView>
  </sheetViews>
  <sheetFormatPr defaultRowHeight="15"/>
  <cols>
    <col min="1" max="1" width="13.5703125" bestFit="1" customWidth="1"/>
    <col min="2" max="2" width="14.85546875" bestFit="1" customWidth="1"/>
  </cols>
  <sheetData>
    <row r="1" spans="1:2">
      <c r="A1" t="s">
        <v>0</v>
      </c>
      <c r="B1" t="s">
        <v>13</v>
      </c>
    </row>
    <row r="2" spans="1:2">
      <c r="A2" t="s">
        <v>4</v>
      </c>
      <c r="B2" t="s">
        <v>14</v>
      </c>
    </row>
    <row r="3" spans="1:2">
      <c r="A3" t="s">
        <v>5</v>
      </c>
      <c r="B3" t="s">
        <v>15</v>
      </c>
    </row>
    <row r="4" spans="1:2">
      <c r="A4" t="s">
        <v>6</v>
      </c>
      <c r="B4" t="s">
        <v>16</v>
      </c>
    </row>
    <row r="5" spans="1:2">
      <c r="A5" t="s">
        <v>7</v>
      </c>
      <c r="B5" t="s">
        <v>17</v>
      </c>
    </row>
    <row r="6" spans="1:2">
      <c r="A6" t="s">
        <v>8</v>
      </c>
      <c r="B6" t="s">
        <v>18</v>
      </c>
    </row>
    <row r="7" spans="1:2">
      <c r="A7" t="s">
        <v>9</v>
      </c>
      <c r="B7" t="s">
        <v>19</v>
      </c>
    </row>
    <row r="8" spans="1:2">
      <c r="A8" t="s">
        <v>10</v>
      </c>
      <c r="B8" t="s">
        <v>20</v>
      </c>
    </row>
    <row r="9" spans="1:2">
      <c r="A9" t="s">
        <v>11</v>
      </c>
      <c r="B9" t="s">
        <v>21</v>
      </c>
    </row>
    <row r="10" spans="1:2">
      <c r="A10" t="s">
        <v>12</v>
      </c>
      <c r="B1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2026-06-19T22:29:18Z</dcterms:created>
  <dcterms:modified xsi:type="dcterms:W3CDTF">2026-06-24T16:12:24Z</dcterms:modified>
  <cp:category/>
  <cp:contentStatus/>
</cp:coreProperties>
</file>